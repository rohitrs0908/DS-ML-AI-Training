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3176" activeTab="1"/>
  </bookViews>
  <sheets>
    <sheet name="TF IDF" sheetId="1" r:id="rId1"/>
    <sheet name="TF-IDF" sheetId="3" r:id="rId2"/>
    <sheet name="LINK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3" l="1"/>
  <c r="J12" i="3" s="1"/>
  <c r="D19" i="3"/>
  <c r="F19" i="3" s="1"/>
  <c r="D18" i="3"/>
  <c r="E18" i="3" s="1"/>
  <c r="D17" i="3"/>
  <c r="F17" i="3" s="1"/>
  <c r="D16" i="3"/>
  <c r="F16" i="3" s="1"/>
  <c r="D15" i="3"/>
  <c r="F15" i="3" s="1"/>
  <c r="D14" i="3"/>
  <c r="E14" i="3" s="1"/>
  <c r="D13" i="3"/>
  <c r="F13" i="3" s="1"/>
  <c r="D12" i="3"/>
  <c r="E12" i="3" s="1"/>
  <c r="D11" i="3"/>
  <c r="E11" i="3" s="1"/>
  <c r="I11" i="3" s="1"/>
  <c r="I12" i="3" s="1"/>
  <c r="N24" i="1"/>
  <c r="N25" i="1"/>
  <c r="N26" i="1"/>
  <c r="N27" i="1"/>
  <c r="N28" i="1"/>
  <c r="N29" i="1"/>
  <c r="N30" i="1"/>
  <c r="N31" i="1"/>
  <c r="N23" i="1"/>
  <c r="P24" i="1"/>
  <c r="P23" i="1"/>
  <c r="M28" i="1"/>
  <c r="M29" i="1"/>
  <c r="M30" i="1"/>
  <c r="M31" i="1"/>
  <c r="M24" i="1"/>
  <c r="M25" i="1"/>
  <c r="M26" i="1"/>
  <c r="M27" i="1"/>
  <c r="M23" i="1"/>
  <c r="O24" i="1"/>
  <c r="O23" i="1"/>
  <c r="L24" i="1"/>
  <c r="L25" i="1"/>
  <c r="L26" i="1"/>
  <c r="L27" i="1"/>
  <c r="L28" i="1"/>
  <c r="L29" i="1"/>
  <c r="L30" i="1"/>
  <c r="L31" i="1"/>
  <c r="L23" i="1"/>
  <c r="K24" i="1"/>
  <c r="K25" i="1"/>
  <c r="K26" i="1"/>
  <c r="K27" i="1"/>
  <c r="K28" i="1"/>
  <c r="K29" i="1"/>
  <c r="K30" i="1"/>
  <c r="K31" i="1"/>
  <c r="K23" i="1"/>
  <c r="J27" i="1"/>
  <c r="J31" i="1"/>
  <c r="J30" i="1"/>
  <c r="J29" i="1"/>
  <c r="J28" i="1"/>
  <c r="J26" i="1"/>
  <c r="J25" i="1"/>
  <c r="J23" i="1"/>
  <c r="J24" i="1"/>
  <c r="F11" i="3" l="1"/>
  <c r="F14" i="3"/>
  <c r="F12" i="3"/>
  <c r="F18" i="3"/>
  <c r="E15" i="3"/>
  <c r="G15" i="3" s="1"/>
  <c r="E19" i="3"/>
  <c r="G19" i="3" s="1"/>
  <c r="G14" i="3"/>
  <c r="G18" i="3"/>
  <c r="G12" i="3"/>
  <c r="H14" i="3"/>
  <c r="E16" i="3"/>
  <c r="G16" i="3" s="1"/>
  <c r="G11" i="3"/>
  <c r="E13" i="3"/>
  <c r="G13" i="3" s="1"/>
  <c r="E17" i="3"/>
  <c r="G17" i="3" s="1"/>
  <c r="H16" i="3" l="1"/>
  <c r="H11" i="3"/>
  <c r="H17" i="3"/>
  <c r="H12" i="3"/>
  <c r="H19" i="3"/>
  <c r="H18" i="3"/>
  <c r="H15" i="3"/>
  <c r="H13" i="3"/>
</calcChain>
</file>

<file path=xl/sharedStrings.xml><?xml version="1.0" encoding="utf-8"?>
<sst xmlns="http://schemas.openxmlformats.org/spreadsheetml/2006/main" count="121" uniqueCount="33">
  <si>
    <t>Document</t>
  </si>
  <si>
    <t xml:space="preserve"> Text</t>
  </si>
  <si>
    <t>No. of word in document</t>
  </si>
  <si>
    <t>A</t>
  </si>
  <si>
    <t>B</t>
  </si>
  <si>
    <t>Jupiter is the largest planet</t>
  </si>
  <si>
    <t>Mars is the fourth planet from sun</t>
  </si>
  <si>
    <t>TF(w,d) = occurences of w in document d/total number of words in document d</t>
  </si>
  <si>
    <t xml:space="preserve">Words </t>
  </si>
  <si>
    <t>TF(for A)</t>
  </si>
  <si>
    <t>TF (for B)</t>
  </si>
  <si>
    <t>Jupiter</t>
  </si>
  <si>
    <t>Is</t>
  </si>
  <si>
    <t>The</t>
  </si>
  <si>
    <t>largest</t>
  </si>
  <si>
    <t>Planet</t>
  </si>
  <si>
    <t>Mars</t>
  </si>
  <si>
    <t>fourth</t>
  </si>
  <si>
    <t>from</t>
  </si>
  <si>
    <t>Sun</t>
  </si>
  <si>
    <t>IDF</t>
  </si>
  <si>
    <t>ln(2/1) = 0.69</t>
  </si>
  <si>
    <t>ln(2/2) = 0</t>
  </si>
  <si>
    <t>IDF(w,D) = ln(Total number of documents(N) in corpus D/number of documents containing w))</t>
  </si>
  <si>
    <t>TFIDF(w,d,D) = TF(w,d) * IDF(w,D)</t>
  </si>
  <si>
    <t>TFIDF(A)</t>
  </si>
  <si>
    <t>TFIDF(B)</t>
  </si>
  <si>
    <t>NORM-A</t>
  </si>
  <si>
    <t>NORM-B</t>
  </si>
  <si>
    <t>TF(w,d) = occurences of w in document d</t>
  </si>
  <si>
    <t>IDF(w,D) = ln(Total number of documents(N) in corpus D+1/number of documents containing w+1))+1</t>
  </si>
  <si>
    <t>https://scikit-learn.org/dev/modules/feature_extraction.html#tfidf-term-weighting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</si>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</sst>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1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cikit-learn.org/dev/modules/feature_extraction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cikit-learn.org/dev/modules/feature_extrac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G6" sqref="G6"/>
    </sheetView>
  </sheetViews>
  <sheetFormatPr defaultRowHeight="14.4" x14ac:dyDescent="0.3"/>
  <cols>
    <col min="1" max="1" width="9.44140625" bestFit="1" customWidth="1"/>
    <col min="2" max="2" width="29.109375" bestFit="1" customWidth="1"/>
    <col min="3" max="3" width="21.77734375" bestFit="1" customWidth="1"/>
    <col min="4" max="4" width="11.77734375" bestFit="1" customWidth="1"/>
    <col min="10" max="10" width="11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</row>
    <row r="2" spans="1:12" x14ac:dyDescent="0.3">
      <c r="A2" s="3" t="s">
        <v>3</v>
      </c>
      <c r="B2" s="3" t="s">
        <v>5</v>
      </c>
      <c r="C2" s="3">
        <v>5</v>
      </c>
    </row>
    <row r="3" spans="1:12" x14ac:dyDescent="0.3">
      <c r="A3" s="3" t="s">
        <v>4</v>
      </c>
      <c r="B3" s="3" t="s">
        <v>6</v>
      </c>
      <c r="C3" s="3">
        <v>8</v>
      </c>
    </row>
    <row r="6" spans="1:12" x14ac:dyDescent="0.3">
      <c r="A6" s="4" t="s">
        <v>7</v>
      </c>
      <c r="G6" s="7" t="s">
        <v>24</v>
      </c>
    </row>
    <row r="8" spans="1:12" x14ac:dyDescent="0.3">
      <c r="A8" s="1" t="s">
        <v>8</v>
      </c>
      <c r="B8" s="1" t="s">
        <v>9</v>
      </c>
      <c r="C8" s="1" t="s">
        <v>10</v>
      </c>
      <c r="G8" s="1" t="s">
        <v>8</v>
      </c>
      <c r="H8" s="1" t="s">
        <v>9</v>
      </c>
      <c r="I8" s="1" t="s">
        <v>10</v>
      </c>
      <c r="J8" s="8" t="s">
        <v>20</v>
      </c>
      <c r="K8" s="8" t="s">
        <v>25</v>
      </c>
      <c r="L8" s="8" t="s">
        <v>26</v>
      </c>
    </row>
    <row r="9" spans="1:12" x14ac:dyDescent="0.3">
      <c r="A9" s="3" t="s">
        <v>11</v>
      </c>
      <c r="B9" s="5">
        <v>0.2</v>
      </c>
      <c r="C9" s="3">
        <v>0</v>
      </c>
      <c r="G9" s="3" t="s">
        <v>11</v>
      </c>
      <c r="H9" s="5">
        <v>0.2</v>
      </c>
      <c r="I9" s="3">
        <v>0</v>
      </c>
      <c r="J9" s="2" t="s">
        <v>21</v>
      </c>
      <c r="K9" s="3">
        <v>0.13800000000000001</v>
      </c>
      <c r="L9" s="3">
        <v>0</v>
      </c>
    </row>
    <row r="10" spans="1:12" x14ac:dyDescent="0.3">
      <c r="A10" s="3" t="s">
        <v>12</v>
      </c>
      <c r="B10" s="5">
        <v>0.2</v>
      </c>
      <c r="C10" s="5">
        <v>0.125</v>
      </c>
      <c r="G10" s="3" t="s">
        <v>12</v>
      </c>
      <c r="H10" s="5">
        <v>0.2</v>
      </c>
      <c r="I10" s="5">
        <v>0.125</v>
      </c>
      <c r="J10" s="2" t="s">
        <v>22</v>
      </c>
      <c r="K10" s="3">
        <v>0</v>
      </c>
      <c r="L10" s="3">
        <v>0</v>
      </c>
    </row>
    <row r="11" spans="1:12" x14ac:dyDescent="0.3">
      <c r="A11" s="3" t="s">
        <v>13</v>
      </c>
      <c r="B11" s="5">
        <v>0.2</v>
      </c>
      <c r="C11" s="5">
        <v>0.25</v>
      </c>
      <c r="G11" s="3" t="s">
        <v>13</v>
      </c>
      <c r="H11" s="5">
        <v>0.2</v>
      </c>
      <c r="I11" s="5">
        <v>0.25</v>
      </c>
      <c r="J11" s="2" t="s">
        <v>22</v>
      </c>
      <c r="K11" s="3">
        <v>0</v>
      </c>
      <c r="L11" s="3">
        <v>0</v>
      </c>
    </row>
    <row r="12" spans="1:12" x14ac:dyDescent="0.3">
      <c r="A12" s="3" t="s">
        <v>14</v>
      </c>
      <c r="B12" s="5">
        <v>0.2</v>
      </c>
      <c r="C12" s="6">
        <v>0</v>
      </c>
      <c r="G12" s="3" t="s">
        <v>14</v>
      </c>
      <c r="H12" s="5">
        <v>0.2</v>
      </c>
      <c r="I12" s="6">
        <v>0</v>
      </c>
      <c r="J12" s="2" t="s">
        <v>21</v>
      </c>
      <c r="K12" s="3">
        <v>0.13800000000000001</v>
      </c>
      <c r="L12" s="3">
        <v>0</v>
      </c>
    </row>
    <row r="13" spans="1:12" x14ac:dyDescent="0.3">
      <c r="A13" s="3" t="s">
        <v>15</v>
      </c>
      <c r="B13" s="5">
        <v>0.2</v>
      </c>
      <c r="C13" s="5">
        <v>0.125</v>
      </c>
      <c r="G13" s="3" t="s">
        <v>15</v>
      </c>
      <c r="H13" s="5">
        <v>0.2</v>
      </c>
      <c r="I13" s="5">
        <v>0.125</v>
      </c>
      <c r="J13" s="2" t="s">
        <v>22</v>
      </c>
      <c r="K13" s="3">
        <v>0</v>
      </c>
      <c r="L13" s="3">
        <v>0</v>
      </c>
    </row>
    <row r="14" spans="1:12" x14ac:dyDescent="0.3">
      <c r="A14" s="3" t="s">
        <v>16</v>
      </c>
      <c r="B14" s="6">
        <v>0</v>
      </c>
      <c r="C14" s="5">
        <v>0.125</v>
      </c>
      <c r="G14" s="3" t="s">
        <v>16</v>
      </c>
      <c r="H14" s="6">
        <v>0</v>
      </c>
      <c r="I14" s="5">
        <v>0.125</v>
      </c>
      <c r="J14" s="2" t="s">
        <v>21</v>
      </c>
      <c r="K14" s="3">
        <v>0</v>
      </c>
      <c r="L14" s="3">
        <v>8.5999999999999993E-2</v>
      </c>
    </row>
    <row r="15" spans="1:12" x14ac:dyDescent="0.3">
      <c r="A15" s="3" t="s">
        <v>17</v>
      </c>
      <c r="B15" s="6">
        <v>0</v>
      </c>
      <c r="C15" s="5">
        <v>0.125</v>
      </c>
      <c r="G15" s="3" t="s">
        <v>17</v>
      </c>
      <c r="H15" s="6">
        <v>0</v>
      </c>
      <c r="I15" s="5">
        <v>0.125</v>
      </c>
      <c r="J15" s="2" t="s">
        <v>21</v>
      </c>
      <c r="K15" s="3">
        <v>0</v>
      </c>
      <c r="L15" s="3">
        <v>8.5999999999999993E-2</v>
      </c>
    </row>
    <row r="16" spans="1:12" x14ac:dyDescent="0.3">
      <c r="A16" s="3" t="s">
        <v>18</v>
      </c>
      <c r="B16" s="6">
        <v>0</v>
      </c>
      <c r="C16" s="5">
        <v>0.125</v>
      </c>
      <c r="G16" s="3" t="s">
        <v>18</v>
      </c>
      <c r="H16" s="6">
        <v>0</v>
      </c>
      <c r="I16" s="5">
        <v>0.125</v>
      </c>
      <c r="J16" s="2" t="s">
        <v>21</v>
      </c>
      <c r="K16" s="3">
        <v>0</v>
      </c>
      <c r="L16" s="3">
        <v>8.5999999999999993E-2</v>
      </c>
    </row>
    <row r="17" spans="1:16" x14ac:dyDescent="0.3">
      <c r="A17" s="3" t="s">
        <v>19</v>
      </c>
      <c r="B17" s="6">
        <v>0</v>
      </c>
      <c r="C17" s="5">
        <v>0.125</v>
      </c>
      <c r="G17" s="3" t="s">
        <v>19</v>
      </c>
      <c r="H17" s="6">
        <v>0</v>
      </c>
      <c r="I17" s="5">
        <v>0.125</v>
      </c>
      <c r="J17" s="2" t="s">
        <v>21</v>
      </c>
      <c r="K17" s="3">
        <v>0</v>
      </c>
      <c r="L17" s="3">
        <v>8.5999999999999993E-2</v>
      </c>
    </row>
    <row r="19" spans="1:16" x14ac:dyDescent="0.3">
      <c r="A19" s="7" t="s">
        <v>23</v>
      </c>
      <c r="G19" s="4" t="s">
        <v>29</v>
      </c>
    </row>
    <row r="20" spans="1:16" x14ac:dyDescent="0.3">
      <c r="G20" s="7" t="s">
        <v>30</v>
      </c>
    </row>
    <row r="21" spans="1:16" x14ac:dyDescent="0.3">
      <c r="A21" s="1" t="s">
        <v>8</v>
      </c>
      <c r="B21" s="1" t="s">
        <v>9</v>
      </c>
      <c r="C21" s="1" t="s">
        <v>10</v>
      </c>
      <c r="D21" s="8" t="s">
        <v>20</v>
      </c>
    </row>
    <row r="22" spans="1:16" x14ac:dyDescent="0.3">
      <c r="A22" s="3" t="s">
        <v>11</v>
      </c>
      <c r="B22" s="5">
        <v>0.2</v>
      </c>
      <c r="C22" s="3">
        <v>0</v>
      </c>
      <c r="D22" s="2" t="s">
        <v>21</v>
      </c>
      <c r="G22" s="1" t="s">
        <v>8</v>
      </c>
      <c r="H22" s="1" t="s">
        <v>9</v>
      </c>
      <c r="I22" s="1" t="s">
        <v>10</v>
      </c>
      <c r="J22" s="8" t="s">
        <v>20</v>
      </c>
      <c r="K22" s="8" t="s">
        <v>25</v>
      </c>
      <c r="L22" s="8" t="s">
        <v>26</v>
      </c>
      <c r="M22" s="8" t="s">
        <v>27</v>
      </c>
      <c r="N22" s="8" t="s">
        <v>28</v>
      </c>
      <c r="O22" s="9" t="s">
        <v>3</v>
      </c>
      <c r="P22" s="9" t="s">
        <v>4</v>
      </c>
    </row>
    <row r="23" spans="1:16" x14ac:dyDescent="0.3">
      <c r="A23" s="3" t="s">
        <v>12</v>
      </c>
      <c r="B23" s="5">
        <v>0.2</v>
      </c>
      <c r="C23" s="5">
        <v>0.125</v>
      </c>
      <c r="D23" s="2" t="s">
        <v>22</v>
      </c>
      <c r="G23" s="3" t="s">
        <v>11</v>
      </c>
      <c r="H23" s="6">
        <v>1</v>
      </c>
      <c r="I23" s="6">
        <v>0</v>
      </c>
      <c r="J23" s="2">
        <f>LN(3/2)+1</f>
        <v>1.4054651081081644</v>
      </c>
      <c r="K23" s="3">
        <f>H23*J23</f>
        <v>1.4054651081081644</v>
      </c>
      <c r="L23" s="3">
        <f>I23*J23</f>
        <v>0</v>
      </c>
      <c r="M23" s="3">
        <f>K23/$O$24</f>
        <v>0.53309782452625354</v>
      </c>
      <c r="N23" s="2">
        <f>L23/$P$24</f>
        <v>0</v>
      </c>
      <c r="O23">
        <f>K23*K23*2+3</f>
        <v>6.9506643402189887</v>
      </c>
      <c r="P23">
        <f>L28*L28*4+3</f>
        <v>10.901328680437977</v>
      </c>
    </row>
    <row r="24" spans="1:16" x14ac:dyDescent="0.3">
      <c r="A24" s="3" t="s">
        <v>13</v>
      </c>
      <c r="B24" s="5">
        <v>0.2</v>
      </c>
      <c r="C24" s="5">
        <v>0.25</v>
      </c>
      <c r="D24" s="2" t="s">
        <v>22</v>
      </c>
      <c r="G24" s="3" t="s">
        <v>12</v>
      </c>
      <c r="H24" s="6">
        <v>1</v>
      </c>
      <c r="I24" s="6">
        <v>1</v>
      </c>
      <c r="J24" s="2">
        <f>LN(3/3)+1</f>
        <v>1</v>
      </c>
      <c r="K24" s="3">
        <f t="shared" ref="K24:K31" si="0">H24*J24</f>
        <v>1</v>
      </c>
      <c r="L24" s="3">
        <f t="shared" ref="L24:L31" si="1">I24*J24</f>
        <v>1</v>
      </c>
      <c r="M24" s="3">
        <f t="shared" ref="M24:M31" si="2">K24/$O$24</f>
        <v>0.37930349280874959</v>
      </c>
      <c r="N24" s="2">
        <f t="shared" ref="N24:N31" si="3">L24/$P$24</f>
        <v>0.30287280728331212</v>
      </c>
      <c r="O24">
        <f>SQRT(O23)</f>
        <v>2.6364112615862854</v>
      </c>
      <c r="P24">
        <f>SQRT(P23)</f>
        <v>3.3017160205623344</v>
      </c>
    </row>
    <row r="25" spans="1:16" x14ac:dyDescent="0.3">
      <c r="A25" s="3" t="s">
        <v>14</v>
      </c>
      <c r="B25" s="5">
        <v>0.2</v>
      </c>
      <c r="C25" s="6">
        <v>0</v>
      </c>
      <c r="D25" s="2" t="s">
        <v>21</v>
      </c>
      <c r="G25" s="3" t="s">
        <v>13</v>
      </c>
      <c r="H25" s="6">
        <v>1</v>
      </c>
      <c r="I25" s="6">
        <v>1</v>
      </c>
      <c r="J25" s="2">
        <f>LN(3/3)+1</f>
        <v>1</v>
      </c>
      <c r="K25" s="3">
        <f t="shared" si="0"/>
        <v>1</v>
      </c>
      <c r="L25" s="3">
        <f t="shared" si="1"/>
        <v>1</v>
      </c>
      <c r="M25" s="3">
        <f t="shared" si="2"/>
        <v>0.37930349280874959</v>
      </c>
      <c r="N25" s="2">
        <f t="shared" si="3"/>
        <v>0.30287280728331212</v>
      </c>
    </row>
    <row r="26" spans="1:16" x14ac:dyDescent="0.3">
      <c r="A26" s="3" t="s">
        <v>15</v>
      </c>
      <c r="B26" s="5">
        <v>0.2</v>
      </c>
      <c r="C26" s="5">
        <v>0.125</v>
      </c>
      <c r="D26" s="2" t="s">
        <v>22</v>
      </c>
      <c r="G26" s="3" t="s">
        <v>14</v>
      </c>
      <c r="H26" s="6">
        <v>1</v>
      </c>
      <c r="I26" s="6">
        <v>0</v>
      </c>
      <c r="J26" s="2">
        <f>LN(3/2)+1</f>
        <v>1.4054651081081644</v>
      </c>
      <c r="K26" s="3">
        <f t="shared" si="0"/>
        <v>1.4054651081081644</v>
      </c>
      <c r="L26" s="3">
        <f t="shared" si="1"/>
        <v>0</v>
      </c>
      <c r="M26" s="3">
        <f t="shared" si="2"/>
        <v>0.53309782452625354</v>
      </c>
      <c r="N26" s="2">
        <f t="shared" si="3"/>
        <v>0</v>
      </c>
    </row>
    <row r="27" spans="1:16" x14ac:dyDescent="0.3">
      <c r="A27" s="3" t="s">
        <v>16</v>
      </c>
      <c r="B27" s="6">
        <v>0</v>
      </c>
      <c r="C27" s="5">
        <v>0.125</v>
      </c>
      <c r="D27" s="2" t="s">
        <v>21</v>
      </c>
      <c r="G27" s="3" t="s">
        <v>15</v>
      </c>
      <c r="H27" s="6">
        <v>1</v>
      </c>
      <c r="I27" s="6">
        <v>1</v>
      </c>
      <c r="J27" s="2">
        <f>LN(3/3)+1</f>
        <v>1</v>
      </c>
      <c r="K27" s="3">
        <f t="shared" si="0"/>
        <v>1</v>
      </c>
      <c r="L27" s="3">
        <f t="shared" si="1"/>
        <v>1</v>
      </c>
      <c r="M27" s="3">
        <f t="shared" si="2"/>
        <v>0.37930349280874959</v>
      </c>
      <c r="N27" s="2">
        <f t="shared" si="3"/>
        <v>0.30287280728331212</v>
      </c>
    </row>
    <row r="28" spans="1:16" x14ac:dyDescent="0.3">
      <c r="A28" s="3" t="s">
        <v>17</v>
      </c>
      <c r="B28" s="6">
        <v>0</v>
      </c>
      <c r="C28" s="5">
        <v>0.125</v>
      </c>
      <c r="D28" s="2" t="s">
        <v>21</v>
      </c>
      <c r="G28" s="3" t="s">
        <v>16</v>
      </c>
      <c r="H28" s="6">
        <v>0</v>
      </c>
      <c r="I28" s="6">
        <v>1</v>
      </c>
      <c r="J28" s="2">
        <f t="shared" ref="J28:J31" si="4">LN(3/2)+1</f>
        <v>1.4054651081081644</v>
      </c>
      <c r="K28" s="3">
        <f t="shared" si="0"/>
        <v>0</v>
      </c>
      <c r="L28" s="3">
        <f t="shared" si="1"/>
        <v>1.4054651081081644</v>
      </c>
      <c r="M28" s="3">
        <f t="shared" si="2"/>
        <v>0</v>
      </c>
      <c r="N28" s="2">
        <f t="shared" si="3"/>
        <v>0.42567716283146345</v>
      </c>
    </row>
    <row r="29" spans="1:16" x14ac:dyDescent="0.3">
      <c r="A29" s="3" t="s">
        <v>18</v>
      </c>
      <c r="B29" s="6">
        <v>0</v>
      </c>
      <c r="C29" s="5">
        <v>0.125</v>
      </c>
      <c r="D29" s="2" t="s">
        <v>21</v>
      </c>
      <c r="G29" s="3" t="s">
        <v>17</v>
      </c>
      <c r="H29" s="6">
        <v>0</v>
      </c>
      <c r="I29" s="6">
        <v>1</v>
      </c>
      <c r="J29" s="2">
        <f t="shared" si="4"/>
        <v>1.4054651081081644</v>
      </c>
      <c r="K29" s="3">
        <f t="shared" si="0"/>
        <v>0</v>
      </c>
      <c r="L29" s="3">
        <f t="shared" si="1"/>
        <v>1.4054651081081644</v>
      </c>
      <c r="M29" s="3">
        <f t="shared" si="2"/>
        <v>0</v>
      </c>
      <c r="N29" s="2">
        <f t="shared" si="3"/>
        <v>0.42567716283146345</v>
      </c>
    </row>
    <row r="30" spans="1:16" x14ac:dyDescent="0.3">
      <c r="A30" s="3" t="s">
        <v>19</v>
      </c>
      <c r="B30" s="6">
        <v>0</v>
      </c>
      <c r="C30" s="5">
        <v>0.125</v>
      </c>
      <c r="D30" s="2" t="s">
        <v>21</v>
      </c>
      <c r="G30" s="3" t="s">
        <v>18</v>
      </c>
      <c r="H30" s="6">
        <v>0</v>
      </c>
      <c r="I30" s="6">
        <v>1</v>
      </c>
      <c r="J30" s="2">
        <f t="shared" si="4"/>
        <v>1.4054651081081644</v>
      </c>
      <c r="K30" s="3">
        <f t="shared" si="0"/>
        <v>0</v>
      </c>
      <c r="L30" s="3">
        <f t="shared" si="1"/>
        <v>1.4054651081081644</v>
      </c>
      <c r="M30" s="3">
        <f t="shared" si="2"/>
        <v>0</v>
      </c>
      <c r="N30" s="2">
        <f t="shared" si="3"/>
        <v>0.42567716283146345</v>
      </c>
    </row>
    <row r="31" spans="1:16" x14ac:dyDescent="0.3">
      <c r="G31" s="3" t="s">
        <v>19</v>
      </c>
      <c r="H31" s="6">
        <v>0</v>
      </c>
      <c r="I31" s="6">
        <v>1</v>
      </c>
      <c r="J31" s="2">
        <f t="shared" si="4"/>
        <v>1.4054651081081644</v>
      </c>
      <c r="K31" s="3">
        <f t="shared" si="0"/>
        <v>0</v>
      </c>
      <c r="L31" s="3">
        <f t="shared" si="1"/>
        <v>1.4054651081081644</v>
      </c>
      <c r="M31" s="3">
        <f t="shared" si="2"/>
        <v>0</v>
      </c>
      <c r="N31" s="2">
        <f t="shared" si="3"/>
        <v>0.42567716283146345</v>
      </c>
    </row>
  </sheetData>
  <phoneticPr fontId="2" type="noConversion"/>
  <pageMargins left="0.7" right="0.7" top="0.75" bottom="0.75" header="0.3" footer="0.3"/>
  <pageSetup orientation="portrait" horizontalDpi="300" verticalDpi="300" r:id="rId1"/>
  <ignoredErrors>
    <ignoredError sqref="J26:J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D2" sqref="D2"/>
    </sheetView>
  </sheetViews>
  <sheetFormatPr defaultRowHeight="14.4" x14ac:dyDescent="0.3"/>
  <cols>
    <col min="1" max="1" width="9.44140625" bestFit="1" customWidth="1"/>
    <col min="2" max="2" width="29.109375" bestFit="1" customWidth="1"/>
    <col min="3" max="3" width="21.77734375" bestFit="1" customWidth="1"/>
    <col min="4" max="4" width="11.77734375" bestFit="1" customWidth="1"/>
    <col min="10" max="10" width="11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</row>
    <row r="2" spans="1:10" x14ac:dyDescent="0.3">
      <c r="A2" s="3" t="s">
        <v>3</v>
      </c>
      <c r="B2" s="3" t="s">
        <v>5</v>
      </c>
      <c r="C2" s="3">
        <v>5</v>
      </c>
    </row>
    <row r="3" spans="1:10" x14ac:dyDescent="0.3">
      <c r="A3" s="3" t="s">
        <v>4</v>
      </c>
      <c r="B3" s="3" t="s">
        <v>6</v>
      </c>
      <c r="C3" s="3">
        <v>8</v>
      </c>
    </row>
    <row r="6" spans="1:10" x14ac:dyDescent="0.3">
      <c r="A6" s="4" t="s">
        <v>29</v>
      </c>
    </row>
    <row r="7" spans="1:10" x14ac:dyDescent="0.3">
      <c r="A7" s="7" t="s">
        <v>30</v>
      </c>
    </row>
    <row r="8" spans="1:10" x14ac:dyDescent="0.3">
      <c r="A8" s="7" t="s">
        <v>24</v>
      </c>
    </row>
    <row r="10" spans="1:10" x14ac:dyDescent="0.3">
      <c r="A10" s="1" t="s">
        <v>8</v>
      </c>
      <c r="B10" s="1" t="s">
        <v>9</v>
      </c>
      <c r="C10" s="1" t="s">
        <v>10</v>
      </c>
      <c r="D10" s="8" t="s">
        <v>20</v>
      </c>
      <c r="E10" s="8" t="s">
        <v>25</v>
      </c>
      <c r="F10" s="8" t="s">
        <v>26</v>
      </c>
      <c r="G10" s="8" t="s">
        <v>27</v>
      </c>
      <c r="H10" s="8" t="s">
        <v>28</v>
      </c>
      <c r="I10" s="9" t="s">
        <v>3</v>
      </c>
      <c r="J10" s="9" t="s">
        <v>4</v>
      </c>
    </row>
    <row r="11" spans="1:10" x14ac:dyDescent="0.3">
      <c r="A11" s="3" t="s">
        <v>11</v>
      </c>
      <c r="B11" s="6">
        <v>1</v>
      </c>
      <c r="C11" s="6">
        <v>0</v>
      </c>
      <c r="D11" s="2">
        <f>LN(3/2)+1</f>
        <v>1.4054651081081644</v>
      </c>
      <c r="E11" s="3">
        <f>B11*D11</f>
        <v>1.4054651081081644</v>
      </c>
      <c r="F11" s="3">
        <f>C11*D11</f>
        <v>0</v>
      </c>
      <c r="G11" s="3">
        <f t="shared" ref="G11:G19" si="0">E11/$I$12</f>
        <v>0.53309782452625354</v>
      </c>
      <c r="H11" s="2">
        <f t="shared" ref="H11:H19" si="1">F11/$J$12</f>
        <v>0</v>
      </c>
      <c r="I11">
        <f>E11*E11*2+3</f>
        <v>6.9506643402189887</v>
      </c>
      <c r="J11">
        <f>F16*F16*4+3</f>
        <v>10.901328680437977</v>
      </c>
    </row>
    <row r="12" spans="1:10" x14ac:dyDescent="0.3">
      <c r="A12" s="3" t="s">
        <v>12</v>
      </c>
      <c r="B12" s="6">
        <v>1</v>
      </c>
      <c r="C12" s="6">
        <v>1</v>
      </c>
      <c r="D12" s="2">
        <f>LN(3/3)+1</f>
        <v>1</v>
      </c>
      <c r="E12" s="3">
        <f t="shared" ref="E12:E19" si="2">B12*D12</f>
        <v>1</v>
      </c>
      <c r="F12" s="3">
        <f t="shared" ref="F12:F19" si="3">C12*D12</f>
        <v>1</v>
      </c>
      <c r="G12" s="3">
        <f t="shared" si="0"/>
        <v>0.37930349280874959</v>
      </c>
      <c r="H12" s="2">
        <f t="shared" si="1"/>
        <v>0.30287280728331212</v>
      </c>
      <c r="I12">
        <f>SQRT(I11)</f>
        <v>2.6364112615862854</v>
      </c>
      <c r="J12">
        <f>SQRT(J11)</f>
        <v>3.3017160205623344</v>
      </c>
    </row>
    <row r="13" spans="1:10" x14ac:dyDescent="0.3">
      <c r="A13" s="3" t="s">
        <v>13</v>
      </c>
      <c r="B13" s="6">
        <v>1</v>
      </c>
      <c r="C13" s="6">
        <v>1</v>
      </c>
      <c r="D13" s="2">
        <f>LN(3/3)+1</f>
        <v>1</v>
      </c>
      <c r="E13" s="3">
        <f t="shared" si="2"/>
        <v>1</v>
      </c>
      <c r="F13" s="3">
        <f t="shared" si="3"/>
        <v>1</v>
      </c>
      <c r="G13" s="3">
        <f t="shared" si="0"/>
        <v>0.37930349280874959</v>
      </c>
      <c r="H13" s="2">
        <f t="shared" si="1"/>
        <v>0.30287280728331212</v>
      </c>
    </row>
    <row r="14" spans="1:10" x14ac:dyDescent="0.3">
      <c r="A14" s="3" t="s">
        <v>14</v>
      </c>
      <c r="B14" s="6">
        <v>1</v>
      </c>
      <c r="C14" s="6">
        <v>0</v>
      </c>
      <c r="D14" s="2">
        <f>LN(3/2)+1</f>
        <v>1.4054651081081644</v>
      </c>
      <c r="E14" s="3">
        <f t="shared" si="2"/>
        <v>1.4054651081081644</v>
      </c>
      <c r="F14" s="3">
        <f t="shared" si="3"/>
        <v>0</v>
      </c>
      <c r="G14" s="3">
        <f t="shared" si="0"/>
        <v>0.53309782452625354</v>
      </c>
      <c r="H14" s="2">
        <f t="shared" si="1"/>
        <v>0</v>
      </c>
    </row>
    <row r="15" spans="1:10" x14ac:dyDescent="0.3">
      <c r="A15" s="3" t="s">
        <v>15</v>
      </c>
      <c r="B15" s="6">
        <v>1</v>
      </c>
      <c r="C15" s="6">
        <v>1</v>
      </c>
      <c r="D15" s="2">
        <f>LN(3/3)+1</f>
        <v>1</v>
      </c>
      <c r="E15" s="3">
        <f t="shared" si="2"/>
        <v>1</v>
      </c>
      <c r="F15" s="3">
        <f t="shared" si="3"/>
        <v>1</v>
      </c>
      <c r="G15" s="3">
        <f t="shared" si="0"/>
        <v>0.37930349280874959</v>
      </c>
      <c r="H15" s="2">
        <f t="shared" si="1"/>
        <v>0.30287280728331212</v>
      </c>
    </row>
    <row r="16" spans="1:10" x14ac:dyDescent="0.3">
      <c r="A16" s="3" t="s">
        <v>16</v>
      </c>
      <c r="B16" s="6">
        <v>0</v>
      </c>
      <c r="C16" s="6">
        <v>1</v>
      </c>
      <c r="D16" s="2">
        <f t="shared" ref="D16:D19" si="4">LN(3/2)+1</f>
        <v>1.4054651081081644</v>
      </c>
      <c r="E16" s="3">
        <f t="shared" si="2"/>
        <v>0</v>
      </c>
      <c r="F16" s="3">
        <f t="shared" si="3"/>
        <v>1.4054651081081644</v>
      </c>
      <c r="G16" s="3">
        <f t="shared" si="0"/>
        <v>0</v>
      </c>
      <c r="H16" s="2">
        <f t="shared" si="1"/>
        <v>0.42567716283146345</v>
      </c>
    </row>
    <row r="17" spans="1:8" x14ac:dyDescent="0.3">
      <c r="A17" s="3" t="s">
        <v>17</v>
      </c>
      <c r="B17" s="6">
        <v>0</v>
      </c>
      <c r="C17" s="6">
        <v>1</v>
      </c>
      <c r="D17" s="2">
        <f t="shared" si="4"/>
        <v>1.4054651081081644</v>
      </c>
      <c r="E17" s="3">
        <f t="shared" si="2"/>
        <v>0</v>
      </c>
      <c r="F17" s="3">
        <f t="shared" si="3"/>
        <v>1.4054651081081644</v>
      </c>
      <c r="G17" s="3">
        <f t="shared" si="0"/>
        <v>0</v>
      </c>
      <c r="H17" s="2">
        <f t="shared" si="1"/>
        <v>0.42567716283146345</v>
      </c>
    </row>
    <row r="18" spans="1:8" x14ac:dyDescent="0.3">
      <c r="A18" s="3" t="s">
        <v>18</v>
      </c>
      <c r="B18" s="6">
        <v>0</v>
      </c>
      <c r="C18" s="6">
        <v>1</v>
      </c>
      <c r="D18" s="2">
        <f t="shared" si="4"/>
        <v>1.4054651081081644</v>
      </c>
      <c r="E18" s="3">
        <f t="shared" si="2"/>
        <v>0</v>
      </c>
      <c r="F18" s="3">
        <f t="shared" si="3"/>
        <v>1.4054651081081644</v>
      </c>
      <c r="G18" s="3">
        <f t="shared" si="0"/>
        <v>0</v>
      </c>
      <c r="H18" s="2">
        <f t="shared" si="1"/>
        <v>0.42567716283146345</v>
      </c>
    </row>
    <row r="19" spans="1:8" x14ac:dyDescent="0.3">
      <c r="A19" s="3" t="s">
        <v>19</v>
      </c>
      <c r="B19" s="6">
        <v>0</v>
      </c>
      <c r="C19" s="6">
        <v>1</v>
      </c>
      <c r="D19" s="2">
        <f t="shared" si="4"/>
        <v>1.4054651081081644</v>
      </c>
      <c r="E19" s="3">
        <f t="shared" si="2"/>
        <v>0</v>
      </c>
      <c r="F19" s="3">
        <f t="shared" si="3"/>
        <v>1.4054651081081644</v>
      </c>
      <c r="G19" s="3">
        <f t="shared" si="0"/>
        <v>0</v>
      </c>
      <c r="H19" s="2">
        <f t="shared" si="1"/>
        <v>0.42567716283146345</v>
      </c>
    </row>
    <row r="21" spans="1:8" x14ac:dyDescent="0.3">
      <c r="A21" s="9" t="s">
        <v>32</v>
      </c>
    </row>
    <row r="22" spans="1:8" x14ac:dyDescent="0.3">
      <c r="A22" s="11" t="s">
        <v>31</v>
      </c>
    </row>
  </sheetData>
  <hyperlinks>
    <hyperlink ref="A22" r:id="rId1" location="tfidf-term-weighting"/>
  </hyperlinks>
  <pageMargins left="0.7" right="0.7" top="0.75" bottom="0.75" header="0.3" footer="0.3"/>
  <pageSetup orientation="portrait" horizontalDpi="300" verticalDpi="300" r:id="rId2"/>
  <ignoredErrors>
    <ignoredError sqref="D14:D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M10" sqref="M10"/>
    </sheetView>
  </sheetViews>
  <sheetFormatPr defaultRowHeight="14.4" x14ac:dyDescent="0.3"/>
  <sheetData>
    <row r="2" spans="1:1" x14ac:dyDescent="0.3">
      <c r="A2" s="10" t="s">
        <v>31</v>
      </c>
    </row>
  </sheetData>
  <hyperlinks>
    <hyperlink ref="A2" r:id="rId1" location="tfidf-term-weighti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TF IDF</vt:lpstr>
      <vt:lpstr>TF-IDF</vt:lpstr>
      <vt:lpstr>LINK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Srivastava</dc:creator>
  <cp:lastModifiedBy>win10</cp:lastModifiedBy>
  <dcterms:created xsi:type="dcterms:W3CDTF">2015-06-05T18:17:20Z</dcterms:created>
  <dcterms:modified xsi:type="dcterms:W3CDTF">2023-12-25T14:46:00Z</dcterms:modified>
</cp:coreProperties>
</file>